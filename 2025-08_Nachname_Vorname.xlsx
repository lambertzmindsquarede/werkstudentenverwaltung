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dsquare1-my.sharepoint.com/personal/robin_steffen_mindsquare_de/Documents/Projekte/Werkstudenten/Code V2/Personal/Lohnabrechnung/2025-07_Juli/Stundenzettel_Werkstudenten/06_JuniRest/Excel/"/>
    </mc:Choice>
  </mc:AlternateContent>
  <xr:revisionPtr revIDLastSave="161" documentId="8_{CA03EB4E-02B7-4664-854A-F265B9AA8E53}" xr6:coauthVersionLast="47" xr6:coauthVersionMax="47" xr10:uidLastSave="{99584A6C-7BB3-40E9-A780-32ECB52F3FDB}"/>
  <bookViews>
    <workbookView xWindow="-110" yWindow="-110" windowWidth="19420" windowHeight="11500" xr2:uid="{00000000-000D-0000-FFFF-FFFF00000000}"/>
  </bookViews>
  <sheets>
    <sheet name="Tabelle1" sheetId="1" r:id="rId1"/>
  </sheets>
  <definedNames>
    <definedName name="_xlnm.Print_Area" localSheetId="0">Tabelle1!$A$1:$H$46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F36" i="1"/>
  <c r="B14" i="1"/>
  <c r="B15" i="1" s="1"/>
  <c r="B16" i="1" s="1"/>
  <c r="B17" i="1" l="1"/>
  <c r="B18" i="1" s="1"/>
  <c r="B19" i="1" s="1"/>
  <c r="B20" i="1" s="1"/>
  <c r="B21" i="1" s="1"/>
  <c r="F44" i="1"/>
  <c r="J44" i="1" s="1"/>
  <c r="I44" i="1" s="1"/>
  <c r="F43" i="1"/>
  <c r="J43" i="1" s="1"/>
  <c r="I43" i="1" s="1"/>
  <c r="F42" i="1"/>
  <c r="J42" i="1" s="1"/>
  <c r="I42" i="1" s="1"/>
  <c r="F41" i="1"/>
  <c r="J41" i="1" s="1"/>
  <c r="I41" i="1" s="1"/>
  <c r="F40" i="1"/>
  <c r="J40" i="1" s="1"/>
  <c r="I40" i="1" s="1"/>
  <c r="F39" i="1"/>
  <c r="J39" i="1" s="1"/>
  <c r="I39" i="1" s="1"/>
  <c r="F38" i="1"/>
  <c r="J38" i="1" s="1"/>
  <c r="I38" i="1" s="1"/>
  <c r="F37" i="1"/>
  <c r="J37" i="1" s="1"/>
  <c r="I37" i="1" s="1"/>
  <c r="J36" i="1"/>
  <c r="I36" i="1" s="1"/>
  <c r="F35" i="1"/>
  <c r="J35" i="1" s="1"/>
  <c r="I35" i="1" s="1"/>
  <c r="F34" i="1"/>
  <c r="J34" i="1" s="1"/>
  <c r="I34" i="1" s="1"/>
  <c r="F33" i="1"/>
  <c r="J33" i="1" s="1"/>
  <c r="I33" i="1" s="1"/>
  <c r="F32" i="1"/>
  <c r="J32" i="1" s="1"/>
  <c r="I32" i="1" s="1"/>
  <c r="F31" i="1"/>
  <c r="J31" i="1" s="1"/>
  <c r="I31" i="1" s="1"/>
  <c r="F30" i="1"/>
  <c r="J30" i="1" s="1"/>
  <c r="I30" i="1" s="1"/>
  <c r="F29" i="1"/>
  <c r="J29" i="1" s="1"/>
  <c r="I29" i="1" s="1"/>
  <c r="F28" i="1"/>
  <c r="J28" i="1" s="1"/>
  <c r="I28" i="1" s="1"/>
  <c r="F27" i="1"/>
  <c r="J27" i="1" s="1"/>
  <c r="I27" i="1" s="1"/>
  <c r="F26" i="1"/>
  <c r="J26" i="1" s="1"/>
  <c r="I26" i="1" s="1"/>
  <c r="F25" i="1"/>
  <c r="J25" i="1" s="1"/>
  <c r="I25" i="1" s="1"/>
  <c r="F24" i="1"/>
  <c r="J24" i="1" s="1"/>
  <c r="I24" i="1" s="1"/>
  <c r="F23" i="1"/>
  <c r="J23" i="1" s="1"/>
  <c r="I23" i="1" s="1"/>
  <c r="F22" i="1"/>
  <c r="J22" i="1" s="1"/>
  <c r="I22" i="1" s="1"/>
  <c r="F21" i="1"/>
  <c r="J21" i="1" s="1"/>
  <c r="I21" i="1" s="1"/>
  <c r="F20" i="1"/>
  <c r="J20" i="1" s="1"/>
  <c r="I20" i="1" s="1"/>
  <c r="F19" i="1"/>
  <c r="J19" i="1" s="1"/>
  <c r="I19" i="1" s="1"/>
  <c r="F18" i="1"/>
  <c r="J18" i="1" s="1"/>
  <c r="I18" i="1" s="1"/>
  <c r="F17" i="1"/>
  <c r="F16" i="1"/>
  <c r="F15" i="1"/>
  <c r="F14" i="1"/>
  <c r="B22" i="1" l="1"/>
  <c r="B23" i="1" s="1"/>
  <c r="B24" i="1" s="1"/>
  <c r="B25" i="1" s="1"/>
  <c r="F45" i="1"/>
  <c r="J17" i="1"/>
  <c r="I17" i="1" s="1"/>
  <c r="J15" i="1"/>
  <c r="I15" i="1" s="1"/>
  <c r="J16" i="1"/>
  <c r="I16" i="1" s="1"/>
  <c r="J14" i="1"/>
  <c r="I14" i="1" s="1"/>
  <c r="B26" i="1" l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</calcChain>
</file>

<file path=xl/sharedStrings.xml><?xml version="1.0" encoding="utf-8"?>
<sst xmlns="http://schemas.openxmlformats.org/spreadsheetml/2006/main" count="28" uniqueCount="27">
  <si>
    <t>Vorlage zur Dokumentation der täglichen Arbeitszeit</t>
  </si>
  <si>
    <t xml:space="preserve">   
</t>
  </si>
  <si>
    <t>Firma:</t>
  </si>
  <si>
    <t>mindsquare AG</t>
  </si>
  <si>
    <t>Name des Mitarbeiters:</t>
  </si>
  <si>
    <r>
      <t>Monat/Jahr</t>
    </r>
    <r>
      <rPr>
        <sz val="10"/>
        <rFont val="Segoe UI Light"/>
        <family val="2"/>
      </rPr>
      <t xml:space="preserve">: </t>
    </r>
    <r>
      <rPr>
        <b/>
        <sz val="10"/>
        <rFont val="Segoe UI Light"/>
        <family val="2"/>
      </rPr>
      <t xml:space="preserve"> </t>
    </r>
  </si>
  <si>
    <t>Kalendertag</t>
  </si>
  <si>
    <t>Beginn</t>
  </si>
  <si>
    <t>Pause</t>
  </si>
  <si>
    <t>Ende</t>
  </si>
  <si>
    <t>Dauer</t>
  </si>
  <si>
    <t>Bemerkungen</t>
  </si>
  <si>
    <t>(Uhrzeit)</t>
  </si>
  <si>
    <t>(Dauer)</t>
  </si>
  <si>
    <t>(Summe)</t>
  </si>
  <si>
    <t xml:space="preserve"> </t>
  </si>
  <si>
    <t>Summe:</t>
  </si>
  <si>
    <t>Hinweise zum Ausfüllen des Stundenzettels:</t>
  </si>
  <si>
    <t>Die Felder Beginn/Pause/Ende im Format hhmm füllen -&gt; z.B. 8:30 Uhr ist 0830</t>
  </si>
  <si>
    <t xml:space="preserve">Die jeweiligen Zeiten Beginn/Pause/Ende im 15-Minuten-Rhythmus erfassen </t>
  </si>
  <si>
    <t>-&gt; also z.B. Beginn 8:30 nicht 8:25</t>
  </si>
  <si>
    <t>Pausenzeiten beachten:</t>
  </si>
  <si>
    <t>Gemäß Arbeitszeitgesetz ist bei einer Arbeitszeit von über 6 h eine Pause von mindestens 30 min Pflicht.</t>
  </si>
  <si>
    <t>Bei einer Arbeitszeit von über 9 h ist eine Pause von mindestens 45 min Pflicht.</t>
  </si>
  <si>
    <t>Personalnummer:</t>
  </si>
  <si>
    <t>Die Excel-Datei muss bis spätestens zum 20. (im Dezember 18.) bei der Verwaltung vorliegen. Schickt sie daher so rechtzeitig an eure Führungskraft, dass eine Weiterleitung rechtzeitig möglich ist.</t>
  </si>
  <si>
    <t>Das Feld Monat/Jahr im Format "MM/JJJJ" füllen -&gt; z.B. September 2025 ist 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</si>
</sst>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m\ yyyy"/>
    <numFmt numFmtId="165" formatCode="ddd\,\ dd;;"/>
    <numFmt numFmtId="166" formatCode="##&quot;:&quot;##"/>
    <numFmt numFmtId="167" formatCode="h:mm;@"/>
    <numFmt numFmtId="168" formatCode="[$-407]d/\ mmm/\ yy;@"/>
    <numFmt numFmtId="169" formatCode="[h]:mm"/>
  </numFmts>
  <fonts count="9" x14ac:knownFonts="1">
    <font>
      <sz val="11"/>
      <color theme="1"/>
      <name val="Calibri"/>
      <family val="2"/>
      <scheme val="minor"/>
    </font>
    <font>
      <sz val="9"/>
      <name val="Segoe UI Light"/>
      <family val="2"/>
    </font>
    <font>
      <b/>
      <sz val="11"/>
      <name val="Segoe UI Light"/>
      <family val="2"/>
    </font>
    <font>
      <b/>
      <sz val="12"/>
      <name val="Segoe UI Light"/>
      <family val="2"/>
    </font>
    <font>
      <b/>
      <sz val="10"/>
      <name val="Segoe UI Light"/>
      <family val="2"/>
    </font>
    <font>
      <b/>
      <sz val="9"/>
      <name val="Segoe UI Light"/>
      <family val="2"/>
    </font>
    <font>
      <b/>
      <sz val="8"/>
      <name val="Segoe UI Light"/>
      <family val="2"/>
    </font>
    <font>
      <sz val="9"/>
      <color theme="1"/>
      <name val="Segoe UI Light"/>
      <family val="2"/>
    </font>
    <font>
      <sz val="10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top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4" xfId="0" applyNumberFormat="1" applyFont="1" applyFill="1" applyBorder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166" fontId="1" fillId="2" borderId="5" xfId="0" applyNumberFormat="1" applyFont="1" applyFill="1" applyBorder="1" applyAlignment="1" applyProtection="1">
      <alignment horizontal="center" vertical="center"/>
      <protection locked="0"/>
    </xf>
    <xf numFmtId="167" fontId="5" fillId="2" borderId="5" xfId="0" applyNumberFormat="1" applyFont="1" applyFill="1" applyBorder="1" applyAlignment="1">
      <alignment horizontal="center" vertical="center"/>
    </xf>
    <xf numFmtId="14" fontId="1" fillId="2" borderId="0" xfId="0" applyNumberFormat="1" applyFont="1" applyFill="1"/>
    <xf numFmtId="0" fontId="6" fillId="2" borderId="0" xfId="0" applyFont="1" applyFill="1" applyAlignment="1">
      <alignment horizontal="center" vertical="center"/>
    </xf>
    <xf numFmtId="169" fontId="2" fillId="2" borderId="12" xfId="0" applyNumberFormat="1" applyFont="1" applyFill="1" applyBorder="1" applyAlignment="1">
      <alignment horizontal="center" vertical="center"/>
    </xf>
    <xf numFmtId="0" fontId="0" fillId="4" borderId="0" xfId="0" applyFill="1"/>
    <xf numFmtId="0" fontId="1" fillId="2" borderId="0" xfId="0" quotePrefix="1" applyFont="1" applyFill="1"/>
    <xf numFmtId="0" fontId="7" fillId="0" borderId="0" xfId="0" applyFont="1"/>
    <xf numFmtId="0" fontId="7" fillId="4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5" borderId="0" xfId="0" applyFont="1" applyFill="1"/>
    <xf numFmtId="0" fontId="0" fillId="5" borderId="0" xfId="0" applyFill="1"/>
    <xf numFmtId="0" fontId="1" fillId="5" borderId="0" xfId="0" applyFont="1" applyFill="1" applyAlignment="1">
      <alignment vertical="top"/>
    </xf>
    <xf numFmtId="168" fontId="1" fillId="2" borderId="2" xfId="0" applyNumberFormat="1" applyFont="1" applyFill="1" applyBorder="1" applyAlignment="1" applyProtection="1">
      <alignment horizontal="center" vertical="center"/>
      <protection locked="0"/>
    </xf>
    <xf numFmtId="168" fontId="1" fillId="2" borderId="3" xfId="0" applyNumberFormat="1" applyFont="1" applyFill="1" applyBorder="1" applyAlignment="1" applyProtection="1">
      <alignment horizontal="center" vertical="center"/>
      <protection locked="0"/>
    </xf>
    <xf numFmtId="168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68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 applyProtection="1">
      <alignment horizontal="center" vertical="center"/>
      <protection locked="0"/>
    </xf>
    <xf numFmtId="164" fontId="1" fillId="2" borderId="2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8" fontId="1" fillId="2" borderId="1" xfId="0" applyNumberFormat="1" applyFont="1" applyFill="1" applyBorder="1" applyAlignment="1" applyProtection="1">
      <alignment horizontal="center" vertical="center"/>
      <protection locked="0"/>
    </xf>
    <xf numFmtId="168" fontId="1" fillId="2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1150712</xdr:colOff>
      <xdr:row>3</xdr:row>
      <xdr:rowOff>99298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B7ADB255-9745-4663-BC80-3EF3C3BC1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667250" y="222250"/>
          <a:ext cx="1150712" cy="658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tabSelected="1" topLeftCell="A29" workbookViewId="0">
      <selection activeCell="E8" sqref="E8"/>
    </sheetView>
  </sheetViews>
  <sheetFormatPr baseColWidth="10" defaultColWidth="11.453125" defaultRowHeight="15" x14ac:dyDescent="0.4"/>
  <cols>
    <col min="1" max="1" width="5" customWidth="1"/>
    <col min="7" max="7" width="4.54296875" customWidth="1"/>
    <col min="8" max="8" width="17.54296875" customWidth="1"/>
    <col min="9" max="9" width="18.26953125" style="24" customWidth="1"/>
    <col min="10" max="10" width="1.54296875" style="24" hidden="1" customWidth="1"/>
    <col min="11" max="11" width="0" hidden="1" customWidth="1"/>
    <col min="12" max="12" width="11.26953125"/>
    <col min="16" max="16" width="12.7265625" customWidth="1"/>
  </cols>
  <sheetData>
    <row r="1" spans="1:11" ht="17.5" x14ac:dyDescent="0.45">
      <c r="A1" s="1"/>
      <c r="B1" s="2" t="s">
        <v>0</v>
      </c>
      <c r="C1" s="3"/>
      <c r="D1" s="1"/>
      <c r="E1" s="1"/>
      <c r="F1" s="1"/>
      <c r="G1" s="1"/>
      <c r="H1" s="1"/>
      <c r="I1" s="26"/>
    </row>
    <row r="2" spans="1:11" ht="28" x14ac:dyDescent="0.4">
      <c r="A2" s="1"/>
      <c r="B2" s="1"/>
      <c r="C2" s="1"/>
      <c r="D2" s="1"/>
      <c r="E2" s="1"/>
      <c r="F2" s="1"/>
      <c r="G2" s="1"/>
      <c r="H2" s="28"/>
      <c r="I2" s="27" t="s">
        <v>1</v>
      </c>
    </row>
    <row r="3" spans="1:11" ht="16" x14ac:dyDescent="0.4">
      <c r="A3" s="1"/>
      <c r="B3" s="4" t="s">
        <v>2</v>
      </c>
      <c r="C3" s="1"/>
      <c r="D3" s="1"/>
      <c r="E3" s="43" t="s">
        <v>3</v>
      </c>
      <c r="F3" s="44"/>
      <c r="H3" s="29"/>
      <c r="I3" s="26"/>
    </row>
    <row r="4" spans="1:11" x14ac:dyDescent="0.4">
      <c r="A4" s="1"/>
      <c r="B4" s="1"/>
      <c r="C4" s="1"/>
      <c r="D4" s="1"/>
      <c r="E4" s="1"/>
      <c r="F4" s="1"/>
      <c r="G4" s="6"/>
      <c r="H4" s="29"/>
      <c r="I4" s="26"/>
    </row>
    <row r="5" spans="1:11" ht="16" x14ac:dyDescent="0.4">
      <c r="A5" s="1"/>
      <c r="B5" s="7" t="s">
        <v>4</v>
      </c>
      <c r="C5" s="6"/>
      <c r="D5" s="6"/>
      <c r="E5" s="43"/>
      <c r="F5" s="50"/>
      <c r="G5" s="8"/>
      <c r="H5" s="30"/>
      <c r="I5" s="26"/>
    </row>
    <row r="6" spans="1:11" ht="16" x14ac:dyDescent="0.45">
      <c r="A6" s="1"/>
      <c r="B6" s="9"/>
      <c r="C6" s="1"/>
      <c r="D6" s="10"/>
      <c r="E6" s="10"/>
      <c r="F6" s="10"/>
      <c r="G6" s="11"/>
      <c r="H6" s="11"/>
      <c r="I6" s="26"/>
    </row>
    <row r="7" spans="1:11" ht="16" x14ac:dyDescent="0.4">
      <c r="A7" s="1"/>
      <c r="B7" s="4" t="s">
        <v>5</v>
      </c>
      <c r="C7" s="1"/>
      <c r="D7" s="1"/>
      <c r="E7" s="41">
        <v>45901</v>
      </c>
      <c r="F7" s="42"/>
      <c r="G7" s="12"/>
      <c r="H7" s="13"/>
      <c r="I7" s="26"/>
    </row>
    <row r="8" spans="1:11" x14ac:dyDescent="0.4">
      <c r="A8" s="1"/>
      <c r="B8" s="1"/>
      <c r="C8" s="1"/>
      <c r="D8" s="1"/>
      <c r="E8" s="1"/>
      <c r="F8" s="1"/>
      <c r="G8" s="1"/>
      <c r="H8" s="1"/>
      <c r="I8" s="26"/>
    </row>
    <row r="9" spans="1:11" ht="16" x14ac:dyDescent="0.4">
      <c r="A9" s="1"/>
      <c r="B9" s="4" t="s">
        <v>24</v>
      </c>
      <c r="C9" s="1"/>
      <c r="D9" s="1"/>
      <c r="E9" s="43"/>
      <c r="F9" s="44"/>
      <c r="G9" s="11"/>
      <c r="H9" s="45" t="str">
        <f xml:space="preserve"> IF(ISBLANK(E9), "Personalnummer angeben", "")</f>
        <v>Personalnummer angeben</v>
      </c>
      <c r="I9" s="26"/>
    </row>
    <row r="10" spans="1:11" x14ac:dyDescent="0.4">
      <c r="A10" s="1"/>
      <c r="B10" s="1"/>
      <c r="C10" s="1"/>
      <c r="D10" s="1"/>
      <c r="E10" s="1"/>
      <c r="F10" s="1"/>
      <c r="G10" s="1"/>
      <c r="H10" s="45"/>
      <c r="I10" s="26"/>
      <c r="K10" t="s">
        <v>15</v>
      </c>
    </row>
    <row r="11" spans="1:11" x14ac:dyDescent="0.4">
      <c r="A11" s="1"/>
      <c r="C11" s="1"/>
      <c r="D11" s="1"/>
      <c r="E11" s="1"/>
      <c r="F11" s="1"/>
      <c r="G11" s="1"/>
      <c r="H11" s="1"/>
    </row>
    <row r="12" spans="1:11" x14ac:dyDescent="0.4">
      <c r="A12" s="19"/>
      <c r="B12" s="36" t="s">
        <v>6</v>
      </c>
      <c r="C12" s="14" t="s">
        <v>7</v>
      </c>
      <c r="D12" s="14" t="s">
        <v>8</v>
      </c>
      <c r="E12" s="14" t="s">
        <v>9</v>
      </c>
      <c r="F12" s="14" t="s">
        <v>10</v>
      </c>
      <c r="G12" s="37" t="s">
        <v>11</v>
      </c>
      <c r="H12" s="38"/>
    </row>
    <row r="13" spans="1:11" x14ac:dyDescent="0.4">
      <c r="A13" s="19"/>
      <c r="B13" s="36"/>
      <c r="C13" s="15" t="s">
        <v>12</v>
      </c>
      <c r="D13" s="15" t="s">
        <v>13</v>
      </c>
      <c r="E13" s="15" t="s">
        <v>12</v>
      </c>
      <c r="F13" s="15" t="s">
        <v>14</v>
      </c>
      <c r="G13" s="39"/>
      <c r="H13" s="40"/>
    </row>
    <row r="14" spans="1:11" x14ac:dyDescent="0.4">
      <c r="A14" s="1"/>
      <c r="B14" s="16">
        <f>($E$7+ROW(B1)-1)*(MONTH(E7+1)=MONTH($E$7))</f>
        <v>45901</v>
      </c>
      <c r="C14" s="17"/>
      <c r="D14" s="17"/>
      <c r="E14" s="17"/>
      <c r="F14" s="18">
        <f>MOD(VALUE(TEXT(E14,"00"":""00"))-VALUE(TEXT(D14,"00"":""00"))-VALUE(TEXT(C14,"00"":""00")),1)</f>
        <v>0</v>
      </c>
      <c r="G14" s="48"/>
      <c r="H14" s="49"/>
      <c r="I14" s="24" t="str">
        <f t="shared" ref="I14:I44" si="0">IF(J14=1,"Pausenzeiten beachten!","")</f>
        <v/>
      </c>
      <c r="J14" s="23">
        <f t="shared" ref="J14:J44" si="1">IF(F14&gt;0.25,IF(F14&gt;0.375,IF(D14&lt;45,1,0),IF(D14&lt;30,1,0)),0)</f>
        <v>0</v>
      </c>
    </row>
    <row r="15" spans="1:11" x14ac:dyDescent="0.4">
      <c r="A15" s="1"/>
      <c r="B15" s="16">
        <f>($E$7+ROW(B2)-1)*(MONTH(B14+1)=MONTH($E$7))</f>
        <v>45902</v>
      </c>
      <c r="C15" s="17"/>
      <c r="D15" s="17"/>
      <c r="E15" s="17"/>
      <c r="F15" s="18">
        <f>MOD(VALUE(TEXT(E15,"00"":""00"))-VALUE(TEXT(D15,"00"":""00"))-VALUE(TEXT(C15,"00"":""00")),1)</f>
        <v>0</v>
      </c>
      <c r="G15" s="31"/>
      <c r="H15" s="32"/>
      <c r="I15" s="24" t="str">
        <f t="shared" si="0"/>
        <v/>
      </c>
      <c r="J15" s="23">
        <f>IF(F15&gt;0.25,IF(F15&gt;0.375,IF(D15&lt;45,1,0),IF(D15&lt;30,1,0)),0)</f>
        <v>0</v>
      </c>
    </row>
    <row r="16" spans="1:11" x14ac:dyDescent="0.4">
      <c r="A16" s="1"/>
      <c r="B16" s="16">
        <f>($E$7+ROW(B3)-1)*(MONTH(B15+1)=MONTH($E$7))</f>
        <v>45903</v>
      </c>
      <c r="C16" s="17"/>
      <c r="D16" s="17"/>
      <c r="E16" s="17"/>
      <c r="F16" s="18">
        <f>MOD(VALUE(TEXT(E16,"00"":""00"))-VALUE(TEXT(D16,"00"":""00"))-VALUE(TEXT(C16,"00"":""00")),1)</f>
        <v>0</v>
      </c>
      <c r="G16" s="31"/>
      <c r="H16" s="32"/>
      <c r="I16" s="24" t="str">
        <f t="shared" si="0"/>
        <v/>
      </c>
      <c r="J16" s="23">
        <f>IF(F16&gt;0.25,IF(F16&gt;0.375,IF(D16&lt;45,1,0),IF(D16&lt;30,1,0)),0)</f>
        <v>0</v>
      </c>
    </row>
    <row r="17" spans="1:10" x14ac:dyDescent="0.4">
      <c r="A17" s="1"/>
      <c r="B17" s="16">
        <f t="shared" ref="B17:B21" si="2">($E$7+ROW(B4)-1)*(MONTH(B16+1)=MONTH($E$7))</f>
        <v>45904</v>
      </c>
      <c r="C17" s="17"/>
      <c r="D17" s="17"/>
      <c r="E17" s="17"/>
      <c r="F17" s="18">
        <f t="shared" ref="F17:F44" si="3">MOD(VALUE(TEXT(E17,"00"":""00"))-VALUE(TEXT(D17,"00"":""00"))-VALUE(TEXT(C17,"00"":""00")),1)</f>
        <v>0</v>
      </c>
      <c r="G17" s="31"/>
      <c r="H17" s="32"/>
      <c r="I17" s="24" t="str">
        <f t="shared" si="0"/>
        <v/>
      </c>
      <c r="J17" s="23">
        <f t="shared" si="1"/>
        <v>0</v>
      </c>
    </row>
    <row r="18" spans="1:10" x14ac:dyDescent="0.4">
      <c r="A18" s="1"/>
      <c r="B18" s="16">
        <f t="shared" si="2"/>
        <v>45905</v>
      </c>
      <c r="C18" s="17"/>
      <c r="D18" s="17"/>
      <c r="E18" s="17"/>
      <c r="F18" s="18">
        <f t="shared" si="3"/>
        <v>0</v>
      </c>
      <c r="G18" s="31"/>
      <c r="H18" s="32"/>
      <c r="I18" s="24" t="str">
        <f t="shared" si="0"/>
        <v/>
      </c>
      <c r="J18" s="23">
        <f t="shared" si="1"/>
        <v>0</v>
      </c>
    </row>
    <row r="19" spans="1:10" x14ac:dyDescent="0.4">
      <c r="A19" s="1"/>
      <c r="B19" s="16">
        <f t="shared" si="2"/>
        <v>45906</v>
      </c>
      <c r="C19" s="17"/>
      <c r="D19" s="17"/>
      <c r="E19" s="17"/>
      <c r="F19" s="18">
        <f t="shared" si="3"/>
        <v>0</v>
      </c>
      <c r="G19" s="31"/>
      <c r="H19" s="32"/>
      <c r="I19" s="24" t="str">
        <f t="shared" si="0"/>
        <v/>
      </c>
      <c r="J19" s="23">
        <f t="shared" si="1"/>
        <v>0</v>
      </c>
    </row>
    <row r="20" spans="1:10" x14ac:dyDescent="0.4">
      <c r="A20" s="1"/>
      <c r="B20" s="16">
        <f t="shared" si="2"/>
        <v>45907</v>
      </c>
      <c r="C20" s="17"/>
      <c r="D20" s="17"/>
      <c r="E20" s="17"/>
      <c r="F20" s="18">
        <f t="shared" si="3"/>
        <v>0</v>
      </c>
      <c r="G20" s="31"/>
      <c r="H20" s="32"/>
      <c r="I20" s="24" t="str">
        <f t="shared" si="0"/>
        <v/>
      </c>
      <c r="J20" s="23">
        <f t="shared" si="1"/>
        <v>0</v>
      </c>
    </row>
    <row r="21" spans="1:10" x14ac:dyDescent="0.4">
      <c r="A21" s="1"/>
      <c r="B21" s="16">
        <f t="shared" si="2"/>
        <v>45908</v>
      </c>
      <c r="C21" s="17"/>
      <c r="D21" s="17"/>
      <c r="E21" s="17"/>
      <c r="F21" s="18">
        <f t="shared" si="3"/>
        <v>0</v>
      </c>
      <c r="G21" s="31"/>
      <c r="H21" s="32"/>
      <c r="I21" s="24" t="str">
        <f t="shared" si="0"/>
        <v/>
      </c>
      <c r="J21" s="23">
        <f t="shared" si="1"/>
        <v>0</v>
      </c>
    </row>
    <row r="22" spans="1:10" x14ac:dyDescent="0.4">
      <c r="A22" s="1"/>
      <c r="B22" s="16">
        <f>($E$7+ROW(B9)-1)*(MONTH(B21+1)=MONTH($E$7))</f>
        <v>45909</v>
      </c>
      <c r="C22" s="17"/>
      <c r="D22" s="17"/>
      <c r="E22" s="17"/>
      <c r="F22" s="18">
        <f t="shared" si="3"/>
        <v>0</v>
      </c>
      <c r="G22" s="31"/>
      <c r="H22" s="32"/>
      <c r="I22" s="24" t="str">
        <f t="shared" si="0"/>
        <v/>
      </c>
      <c r="J22" s="23">
        <f t="shared" si="1"/>
        <v>0</v>
      </c>
    </row>
    <row r="23" spans="1:10" x14ac:dyDescent="0.4">
      <c r="A23" s="1"/>
      <c r="B23" s="16">
        <f t="shared" ref="B23:B44" si="4">($E$7+ROW(B10)-1)*(MONTH(B22+1)=MONTH($E$7))</f>
        <v>45910</v>
      </c>
      <c r="C23" s="17"/>
      <c r="D23" s="17"/>
      <c r="E23" s="17"/>
      <c r="F23" s="18">
        <f t="shared" si="3"/>
        <v>0</v>
      </c>
      <c r="G23" s="31"/>
      <c r="H23" s="32"/>
      <c r="I23" s="24" t="str">
        <f t="shared" si="0"/>
        <v/>
      </c>
      <c r="J23" s="23">
        <f t="shared" si="1"/>
        <v>0</v>
      </c>
    </row>
    <row r="24" spans="1:10" x14ac:dyDescent="0.4">
      <c r="A24" s="1"/>
      <c r="B24" s="16">
        <f t="shared" si="4"/>
        <v>45911</v>
      </c>
      <c r="C24" s="17"/>
      <c r="D24" s="17"/>
      <c r="E24" s="17"/>
      <c r="F24" s="18">
        <f t="shared" si="3"/>
        <v>0</v>
      </c>
      <c r="G24" s="31"/>
      <c r="H24" s="32"/>
      <c r="I24" s="24" t="str">
        <f t="shared" si="0"/>
        <v/>
      </c>
      <c r="J24" s="23">
        <f t="shared" si="1"/>
        <v>0</v>
      </c>
    </row>
    <row r="25" spans="1:10" x14ac:dyDescent="0.4">
      <c r="A25" s="1"/>
      <c r="B25" s="16">
        <f>($E$7+ROW(B12)-1)*(MONTH(B24+1)=MONTH($E$7))</f>
        <v>45912</v>
      </c>
      <c r="C25" s="17"/>
      <c r="D25" s="17"/>
      <c r="E25" s="17"/>
      <c r="F25" s="18">
        <f t="shared" si="3"/>
        <v>0</v>
      </c>
      <c r="G25" s="31"/>
      <c r="H25" s="32"/>
      <c r="I25" s="24" t="str">
        <f t="shared" si="0"/>
        <v/>
      </c>
      <c r="J25" s="23">
        <f t="shared" si="1"/>
        <v>0</v>
      </c>
    </row>
    <row r="26" spans="1:10" x14ac:dyDescent="0.4">
      <c r="A26" s="1"/>
      <c r="B26" s="16">
        <f>($E$7+ROW(B13)-1)*(MONTH(B25+1)=MONTH($E$7))</f>
        <v>45913</v>
      </c>
      <c r="C26" s="17"/>
      <c r="D26" s="17"/>
      <c r="E26" s="17"/>
      <c r="F26" s="18">
        <f t="shared" si="3"/>
        <v>0</v>
      </c>
      <c r="G26" s="31"/>
      <c r="H26" s="32"/>
      <c r="I26" s="24" t="str">
        <f t="shared" si="0"/>
        <v/>
      </c>
      <c r="J26" s="23">
        <f t="shared" si="1"/>
        <v>0</v>
      </c>
    </row>
    <row r="27" spans="1:10" x14ac:dyDescent="0.4">
      <c r="A27" s="1"/>
      <c r="B27" s="16">
        <f t="shared" si="4"/>
        <v>45914</v>
      </c>
      <c r="C27" s="17"/>
      <c r="D27" s="17"/>
      <c r="E27" s="17"/>
      <c r="F27" s="18">
        <f t="shared" si="3"/>
        <v>0</v>
      </c>
      <c r="G27" s="31"/>
      <c r="H27" s="32"/>
      <c r="I27" s="24" t="str">
        <f t="shared" si="0"/>
        <v/>
      </c>
      <c r="J27" s="23">
        <f t="shared" si="1"/>
        <v>0</v>
      </c>
    </row>
    <row r="28" spans="1:10" ht="15" customHeight="1" x14ac:dyDescent="0.4">
      <c r="A28" s="1"/>
      <c r="B28" s="16">
        <f t="shared" si="4"/>
        <v>45915</v>
      </c>
      <c r="C28" s="17"/>
      <c r="D28" s="17"/>
      <c r="E28" s="17"/>
      <c r="F28" s="18">
        <f t="shared" si="3"/>
        <v>0</v>
      </c>
      <c r="G28" s="31"/>
      <c r="H28" s="32"/>
      <c r="I28" s="24" t="str">
        <f t="shared" si="0"/>
        <v/>
      </c>
      <c r="J28" s="23">
        <f t="shared" si="1"/>
        <v>0</v>
      </c>
    </row>
    <row r="29" spans="1:10" x14ac:dyDescent="0.4">
      <c r="A29" s="1"/>
      <c r="B29" s="16">
        <f t="shared" si="4"/>
        <v>45916</v>
      </c>
      <c r="C29" s="17"/>
      <c r="D29" s="17"/>
      <c r="E29" s="17"/>
      <c r="F29" s="18">
        <f t="shared" si="3"/>
        <v>0</v>
      </c>
      <c r="G29" s="31"/>
      <c r="H29" s="32"/>
      <c r="I29" s="24" t="str">
        <f t="shared" si="0"/>
        <v/>
      </c>
      <c r="J29" s="23">
        <f t="shared" si="1"/>
        <v>0</v>
      </c>
    </row>
    <row r="30" spans="1:10" x14ac:dyDescent="0.4">
      <c r="A30" s="1"/>
      <c r="B30" s="16">
        <f t="shared" si="4"/>
        <v>45917</v>
      </c>
      <c r="C30" s="17"/>
      <c r="D30" s="17"/>
      <c r="E30" s="17"/>
      <c r="F30" s="18">
        <f>MOD(VALUE(TEXT(E30,"00"":""00"))-VALUE(TEXT(D30,"00"":""00"))-VALUE(TEXT(C30,"00"":""00")),1)</f>
        <v>0</v>
      </c>
      <c r="G30" s="31"/>
      <c r="H30" s="32"/>
      <c r="I30" s="24" t="str">
        <f t="shared" si="0"/>
        <v/>
      </c>
      <c r="J30" s="23">
        <f t="shared" si="1"/>
        <v>0</v>
      </c>
    </row>
    <row r="31" spans="1:10" x14ac:dyDescent="0.4">
      <c r="A31" s="1"/>
      <c r="B31" s="16">
        <f t="shared" si="4"/>
        <v>45918</v>
      </c>
      <c r="C31" s="17"/>
      <c r="D31" s="17"/>
      <c r="E31" s="17"/>
      <c r="F31" s="18">
        <f>MOD(VALUE(TEXT(E31,"00"":""00"))-VALUE(TEXT(D31,"00"":""00"))-VALUE(TEXT(C31,"00"":""00")),1)</f>
        <v>0</v>
      </c>
      <c r="G31" s="33"/>
      <c r="H31" s="34"/>
      <c r="I31" s="24" t="str">
        <f t="shared" si="0"/>
        <v/>
      </c>
      <c r="J31" s="23">
        <f t="shared" si="1"/>
        <v>0</v>
      </c>
    </row>
    <row r="32" spans="1:10" x14ac:dyDescent="0.4">
      <c r="A32" s="1"/>
      <c r="B32" s="16">
        <f t="shared" si="4"/>
        <v>45919</v>
      </c>
      <c r="C32" s="17"/>
      <c r="D32" s="17"/>
      <c r="E32" s="17"/>
      <c r="F32" s="18">
        <f t="shared" si="3"/>
        <v>0</v>
      </c>
      <c r="G32" s="31"/>
      <c r="H32" s="32"/>
      <c r="I32" s="24" t="str">
        <f t="shared" si="0"/>
        <v/>
      </c>
      <c r="J32" s="23">
        <f t="shared" si="1"/>
        <v>0</v>
      </c>
    </row>
    <row r="33" spans="1:10" x14ac:dyDescent="0.4">
      <c r="A33" s="1"/>
      <c r="B33" s="16">
        <f t="shared" si="4"/>
        <v>45920</v>
      </c>
      <c r="C33" s="17"/>
      <c r="D33" s="17"/>
      <c r="E33" s="17"/>
      <c r="F33" s="18">
        <f t="shared" si="3"/>
        <v>0</v>
      </c>
      <c r="G33" s="31"/>
      <c r="H33" s="32"/>
      <c r="I33" s="24" t="str">
        <f t="shared" si="0"/>
        <v/>
      </c>
      <c r="J33" s="23">
        <f t="shared" si="1"/>
        <v>0</v>
      </c>
    </row>
    <row r="34" spans="1:10" x14ac:dyDescent="0.4">
      <c r="A34" s="1"/>
      <c r="B34" s="16">
        <f t="shared" si="4"/>
        <v>45921</v>
      </c>
      <c r="C34" s="17"/>
      <c r="D34" s="17"/>
      <c r="E34" s="17"/>
      <c r="F34" s="18">
        <f t="shared" si="3"/>
        <v>0</v>
      </c>
      <c r="G34" s="31"/>
      <c r="H34" s="32"/>
      <c r="I34" s="24" t="str">
        <f t="shared" si="0"/>
        <v/>
      </c>
      <c r="J34" s="23">
        <f t="shared" si="1"/>
        <v>0</v>
      </c>
    </row>
    <row r="35" spans="1:10" x14ac:dyDescent="0.4">
      <c r="A35" s="1"/>
      <c r="B35" s="16">
        <f t="shared" si="4"/>
        <v>45922</v>
      </c>
      <c r="C35" s="17"/>
      <c r="D35" s="17"/>
      <c r="E35" s="17"/>
      <c r="F35" s="18">
        <f t="shared" si="3"/>
        <v>0</v>
      </c>
      <c r="G35" s="31"/>
      <c r="H35" s="32"/>
      <c r="I35" s="24" t="str">
        <f t="shared" si="0"/>
        <v/>
      </c>
      <c r="J35" s="23">
        <f t="shared" si="1"/>
        <v>0</v>
      </c>
    </row>
    <row r="36" spans="1:10" x14ac:dyDescent="0.4">
      <c r="A36" s="1"/>
      <c r="B36" s="16">
        <f t="shared" si="4"/>
        <v>45923</v>
      </c>
      <c r="C36" s="17"/>
      <c r="D36" s="17"/>
      <c r="E36" s="17"/>
      <c r="F36" s="18">
        <f t="shared" si="3"/>
        <v>0</v>
      </c>
      <c r="G36" s="31"/>
      <c r="H36" s="32"/>
      <c r="I36" s="24" t="str">
        <f t="shared" si="0"/>
        <v/>
      </c>
      <c r="J36" s="23">
        <f t="shared" si="1"/>
        <v>0</v>
      </c>
    </row>
    <row r="37" spans="1:10" x14ac:dyDescent="0.4">
      <c r="A37" s="1"/>
      <c r="B37" s="16">
        <f t="shared" si="4"/>
        <v>45924</v>
      </c>
      <c r="C37" s="17"/>
      <c r="D37" s="17"/>
      <c r="E37" s="17"/>
      <c r="F37" s="18">
        <f t="shared" si="3"/>
        <v>0</v>
      </c>
      <c r="G37" s="31"/>
      <c r="H37" s="32"/>
      <c r="I37" s="24" t="str">
        <f t="shared" si="0"/>
        <v/>
      </c>
      <c r="J37" s="23">
        <f t="shared" si="1"/>
        <v>0</v>
      </c>
    </row>
    <row r="38" spans="1:10" x14ac:dyDescent="0.4">
      <c r="A38" s="1"/>
      <c r="B38" s="16">
        <f t="shared" si="4"/>
        <v>45925</v>
      </c>
      <c r="C38" s="17"/>
      <c r="D38" s="17"/>
      <c r="E38" s="17"/>
      <c r="F38" s="18">
        <f t="shared" si="3"/>
        <v>0</v>
      </c>
      <c r="G38" s="31"/>
      <c r="H38" s="32"/>
      <c r="I38" s="24" t="str">
        <f t="shared" si="0"/>
        <v/>
      </c>
      <c r="J38" s="23">
        <f t="shared" si="1"/>
        <v>0</v>
      </c>
    </row>
    <row r="39" spans="1:10" x14ac:dyDescent="0.4">
      <c r="A39" s="1"/>
      <c r="B39" s="16">
        <f t="shared" si="4"/>
        <v>45926</v>
      </c>
      <c r="C39" s="17"/>
      <c r="D39" s="17"/>
      <c r="E39" s="17"/>
      <c r="F39" s="18">
        <f t="shared" si="3"/>
        <v>0</v>
      </c>
      <c r="G39" s="31"/>
      <c r="H39" s="32"/>
      <c r="I39" s="24" t="str">
        <f t="shared" si="0"/>
        <v/>
      </c>
      <c r="J39" s="23">
        <f t="shared" si="1"/>
        <v>0</v>
      </c>
    </row>
    <row r="40" spans="1:10" x14ac:dyDescent="0.4">
      <c r="A40" s="1"/>
      <c r="B40" s="16">
        <f t="shared" si="4"/>
        <v>45927</v>
      </c>
      <c r="C40" s="17"/>
      <c r="D40" s="17"/>
      <c r="E40" s="17"/>
      <c r="F40" s="18">
        <f t="shared" si="3"/>
        <v>0</v>
      </c>
      <c r="G40" s="31"/>
      <c r="H40" s="32"/>
      <c r="I40" s="24" t="str">
        <f t="shared" si="0"/>
        <v/>
      </c>
      <c r="J40" s="23">
        <f t="shared" si="1"/>
        <v>0</v>
      </c>
    </row>
    <row r="41" spans="1:10" x14ac:dyDescent="0.4">
      <c r="A41" s="1"/>
      <c r="B41" s="16">
        <f t="shared" si="4"/>
        <v>45928</v>
      </c>
      <c r="C41" s="17"/>
      <c r="D41" s="17"/>
      <c r="E41" s="17"/>
      <c r="F41" s="18">
        <f t="shared" si="3"/>
        <v>0</v>
      </c>
      <c r="G41" s="31"/>
      <c r="H41" s="32"/>
      <c r="I41" s="24" t="str">
        <f t="shared" si="0"/>
        <v/>
      </c>
      <c r="J41" s="23">
        <f t="shared" si="1"/>
        <v>0</v>
      </c>
    </row>
    <row r="42" spans="1:10" x14ac:dyDescent="0.4">
      <c r="A42" s="1"/>
      <c r="B42" s="16">
        <f t="shared" si="4"/>
        <v>45929</v>
      </c>
      <c r="C42" s="17"/>
      <c r="D42" s="17"/>
      <c r="E42" s="17"/>
      <c r="F42" s="18">
        <f t="shared" si="3"/>
        <v>0</v>
      </c>
      <c r="G42" s="31"/>
      <c r="H42" s="32"/>
      <c r="I42" s="24" t="str">
        <f t="shared" si="0"/>
        <v/>
      </c>
      <c r="J42" s="23">
        <f t="shared" si="1"/>
        <v>0</v>
      </c>
    </row>
    <row r="43" spans="1:10" x14ac:dyDescent="0.4">
      <c r="A43" s="1"/>
      <c r="B43" s="16">
        <f>($E$7+ROW(B30)-1)*(MONTH(B42+1)=MONTH($E$7))</f>
        <v>45930</v>
      </c>
      <c r="C43" s="17"/>
      <c r="D43" s="17"/>
      <c r="E43" s="17"/>
      <c r="F43" s="18">
        <f t="shared" si="3"/>
        <v>0</v>
      </c>
      <c r="G43" s="31"/>
      <c r="H43" s="32"/>
      <c r="I43" s="24" t="str">
        <f t="shared" si="0"/>
        <v/>
      </c>
      <c r="J43" s="23">
        <f t="shared" si="1"/>
        <v>0</v>
      </c>
    </row>
    <row r="44" spans="1:10" x14ac:dyDescent="0.4">
      <c r="A44" s="1"/>
      <c r="B44" s="16">
        <f t="shared" si="4"/>
        <v>0</v>
      </c>
      <c r="C44" s="17"/>
      <c r="D44" s="17"/>
      <c r="E44" s="17"/>
      <c r="F44" s="18">
        <f t="shared" si="3"/>
        <v>0</v>
      </c>
      <c r="G44" s="31"/>
      <c r="H44" s="32"/>
      <c r="I44" s="24" t="str">
        <f t="shared" si="0"/>
        <v/>
      </c>
      <c r="J44" s="23">
        <f t="shared" si="1"/>
        <v>0</v>
      </c>
    </row>
    <row r="45" spans="1:10" ht="17" thickBot="1" x14ac:dyDescent="0.45">
      <c r="A45" s="1"/>
      <c r="B45" s="5"/>
      <c r="C45" s="5"/>
      <c r="D45" s="5"/>
      <c r="E45" s="20" t="s">
        <v>16</v>
      </c>
      <c r="F45" s="21">
        <f>INT(SUM(F14:F44)*96)/96</f>
        <v>0</v>
      </c>
      <c r="G45" s="5"/>
      <c r="H45" s="5"/>
      <c r="I45" s="26"/>
    </row>
    <row r="46" spans="1:10" ht="15.5" thickTop="1" x14ac:dyDescent="0.4">
      <c r="A46" s="1"/>
      <c r="B46" s="5"/>
      <c r="C46" s="35"/>
      <c r="D46" s="46"/>
      <c r="E46" s="47"/>
      <c r="F46" s="35"/>
      <c r="G46" s="46"/>
      <c r="H46" s="46"/>
      <c r="I46" s="26"/>
    </row>
    <row r="51" spans="1:16" x14ac:dyDescent="0.4">
      <c r="A51" s="22" t="s">
        <v>17</v>
      </c>
      <c r="B51" s="22"/>
      <c r="C51" s="22"/>
      <c r="D51" s="22"/>
      <c r="E51" s="22"/>
      <c r="F51" s="22"/>
      <c r="G51" s="22"/>
      <c r="H51" s="22"/>
      <c r="I51" s="25"/>
      <c r="L51" s="22"/>
      <c r="M51" s="22"/>
      <c r="N51" s="22"/>
      <c r="O51" s="22"/>
      <c r="P51" s="22"/>
    </row>
    <row r="52" spans="1:16" x14ac:dyDescent="0.4">
      <c r="A52" s="22"/>
      <c r="B52" s="22"/>
      <c r="C52" s="22"/>
      <c r="D52" s="22"/>
      <c r="E52" s="22"/>
      <c r="F52" s="22"/>
      <c r="G52" s="22"/>
      <c r="H52" s="22"/>
      <c r="I52" s="25"/>
      <c r="L52" s="22"/>
      <c r="M52" s="22"/>
      <c r="N52" s="22"/>
      <c r="O52" s="22"/>
      <c r="P52" s="22"/>
    </row>
    <row r="53" spans="1:16" x14ac:dyDescent="0.4">
      <c r="A53" s="22" t="s">
        <v>26</v>
      </c>
      <c r="B53" s="22"/>
      <c r="C53" s="22"/>
      <c r="D53" s="22"/>
      <c r="E53" s="22"/>
      <c r="F53" s="22"/>
      <c r="G53" s="22"/>
      <c r="H53" s="22"/>
      <c r="I53" s="25"/>
      <c r="L53" s="22"/>
      <c r="M53" s="22"/>
      <c r="N53" s="22"/>
      <c r="O53" s="22"/>
      <c r="P53" s="22"/>
    </row>
    <row r="54" spans="1:16" x14ac:dyDescent="0.4">
      <c r="A54" s="22" t="s">
        <v>18</v>
      </c>
      <c r="B54" s="22"/>
      <c r="C54" s="22"/>
      <c r="D54" s="22"/>
      <c r="E54" s="22"/>
      <c r="F54" s="22"/>
      <c r="G54" s="22"/>
      <c r="H54" s="22"/>
      <c r="I54" s="25"/>
      <c r="L54" s="22"/>
      <c r="M54" s="22"/>
      <c r="N54" s="22"/>
      <c r="O54" s="22"/>
      <c r="P54" s="22"/>
    </row>
    <row r="55" spans="1:16" x14ac:dyDescent="0.4">
      <c r="A55" s="22" t="s">
        <v>19</v>
      </c>
      <c r="B55" s="22"/>
      <c r="C55" s="22"/>
      <c r="D55" s="22"/>
      <c r="E55" s="22"/>
      <c r="F55" s="22"/>
      <c r="G55" s="22"/>
      <c r="H55" s="22"/>
      <c r="I55" s="25"/>
      <c r="L55" s="22"/>
      <c r="M55" s="22"/>
      <c r="N55" s="22"/>
      <c r="O55" s="22"/>
      <c r="P55" s="22"/>
    </row>
    <row r="56" spans="1:16" x14ac:dyDescent="0.4">
      <c r="A56" s="22" t="s">
        <v>20</v>
      </c>
      <c r="B56" s="22"/>
      <c r="C56" s="22"/>
      <c r="D56" s="22"/>
      <c r="E56" s="22"/>
      <c r="F56" s="22"/>
      <c r="G56" s="22"/>
      <c r="H56" s="22"/>
      <c r="I56" s="25"/>
      <c r="L56" s="22"/>
      <c r="M56" s="22"/>
      <c r="N56" s="22"/>
      <c r="O56" s="22"/>
      <c r="P56" s="22"/>
    </row>
    <row r="57" spans="1:16" x14ac:dyDescent="0.4">
      <c r="A57" s="22"/>
      <c r="B57" s="22"/>
      <c r="C57" s="22"/>
      <c r="D57" s="22"/>
      <c r="E57" s="22"/>
      <c r="F57" s="22"/>
      <c r="G57" s="22"/>
      <c r="H57" s="22"/>
      <c r="I57" s="25"/>
      <c r="L57" s="22"/>
      <c r="M57" s="22"/>
      <c r="N57" s="22"/>
      <c r="O57" s="22"/>
      <c r="P57" s="22"/>
    </row>
    <row r="58" spans="1:16" x14ac:dyDescent="0.4">
      <c r="A58" s="22" t="s">
        <v>21</v>
      </c>
      <c r="B58" s="22"/>
      <c r="C58" s="22"/>
      <c r="D58" s="22"/>
      <c r="E58" s="22"/>
      <c r="F58" s="22"/>
      <c r="G58" s="22"/>
      <c r="H58" s="22"/>
      <c r="I58" s="25"/>
      <c r="L58" s="22"/>
      <c r="M58" s="22"/>
      <c r="N58" s="22"/>
      <c r="O58" s="22"/>
      <c r="P58" s="22"/>
    </row>
    <row r="59" spans="1:16" x14ac:dyDescent="0.4">
      <c r="A59" s="22" t="s">
        <v>22</v>
      </c>
      <c r="B59" s="22"/>
      <c r="C59" s="22"/>
      <c r="D59" s="22"/>
      <c r="E59" s="22"/>
      <c r="F59" s="22"/>
      <c r="G59" s="22"/>
      <c r="H59" s="22"/>
      <c r="I59" s="25"/>
      <c r="L59" s="22"/>
      <c r="M59" s="22"/>
      <c r="N59" s="22"/>
      <c r="O59" s="22"/>
      <c r="P59" s="22"/>
    </row>
    <row r="60" spans="1:16" x14ac:dyDescent="0.4">
      <c r="A60" s="22" t="s">
        <v>23</v>
      </c>
      <c r="B60" s="22"/>
      <c r="C60" s="22"/>
      <c r="D60" s="22"/>
      <c r="E60" s="22"/>
      <c r="F60" s="22"/>
      <c r="G60" s="22"/>
      <c r="H60" s="22"/>
      <c r="I60" s="25"/>
      <c r="L60" s="22"/>
      <c r="M60" s="22"/>
      <c r="N60" s="22"/>
      <c r="O60" s="22"/>
      <c r="P60" s="22"/>
    </row>
    <row r="61" spans="1:16" ht="14.5" x14ac:dyDescent="0.35">
      <c r="A61" s="22" t="s">
        <v>25</v>
      </c>
      <c r="B61" s="22"/>
      <c r="C61" s="22"/>
      <c r="D61" s="22"/>
      <c r="E61" s="22"/>
      <c r="F61" s="22"/>
      <c r="G61" s="22"/>
      <c r="H61" s="22"/>
      <c r="I61" s="22"/>
      <c r="J61"/>
      <c r="L61" s="22"/>
      <c r="M61" s="22"/>
      <c r="N61" s="22"/>
      <c r="O61" s="22"/>
      <c r="P61" s="22"/>
    </row>
    <row r="62" spans="1:16" ht="14.5" x14ac:dyDescent="0.35">
      <c r="I62"/>
      <c r="J62"/>
    </row>
    <row r="63" spans="1:16" ht="14.5" x14ac:dyDescent="0.35">
      <c r="I63"/>
      <c r="J63"/>
    </row>
    <row r="64" spans="1:16" x14ac:dyDescent="0.4">
      <c r="I64"/>
    </row>
    <row r="65" spans="9:10" ht="14.5" x14ac:dyDescent="0.35">
      <c r="I65"/>
      <c r="J65"/>
    </row>
    <row r="66" spans="9:10" ht="14.5" x14ac:dyDescent="0.35">
      <c r="I66"/>
      <c r="J66"/>
    </row>
    <row r="67" spans="9:10" ht="14.5" x14ac:dyDescent="0.35">
      <c r="I67"/>
      <c r="J67"/>
    </row>
    <row r="68" spans="9:10" ht="14.5" x14ac:dyDescent="0.35">
      <c r="I68"/>
      <c r="J68"/>
    </row>
    <row r="69" spans="9:10" ht="14.5" x14ac:dyDescent="0.35">
      <c r="I69"/>
      <c r="J69"/>
    </row>
  </sheetData>
  <mergeCells count="10">
    <mergeCell ref="G46:H46"/>
    <mergeCell ref="D46:E46"/>
    <mergeCell ref="G14:H14"/>
    <mergeCell ref="E3:F3"/>
    <mergeCell ref="E5:F5"/>
    <mergeCell ref="B12:B13"/>
    <mergeCell ref="G12:H13"/>
    <mergeCell ref="E7:F7"/>
    <mergeCell ref="E9:F9"/>
    <mergeCell ref="H9:H10"/>
  </mergeCells>
  <conditionalFormatting sqref="H9">
    <cfRule type="expression" dxfId="1" priority="1">
      <formula>ISBLANK($E$9)</formula>
    </cfRule>
  </conditionalFormatting>
  <conditionalFormatting sqref="I14:I44">
    <cfRule type="containsText" dxfId="0" priority="3" operator="containsText" text="Pausenzeiten">
      <formula>NOT(ISERROR(SEARCH("Pausenzeiten",I14)))</formula>
    </cfRule>
  </conditionalFormatting>
  <pageMargins left="0.70866141732283472" right="0.70866141732283472" top="0.78740157480314965" bottom="0.78740157480314965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Jahn</dc:creator>
  <cp:keywords/>
  <dc:description/>
  <cp:lastModifiedBy>Robin Steffen</cp:lastModifiedBy>
  <cp:revision/>
  <cp:lastPrinted>2025-07-28T12:48:16Z</cp:lastPrinted>
  <dcterms:created xsi:type="dcterms:W3CDTF">2018-05-22T09:31:26Z</dcterms:created>
  <dcterms:modified xsi:type="dcterms:W3CDTF">2025-09-11T08:57:43Z</dcterms:modified>
  <cp:category/>
  <cp:contentStatus/>
</cp:coreProperties>
</file>